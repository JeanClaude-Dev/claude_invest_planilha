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SSOAL\JEAN\CURSO_RECLAMEAQUI_BOOTACAMP_DIO\desafio_projeto_1\"/>
    </mc:Choice>
  </mc:AlternateContent>
  <xr:revisionPtr revIDLastSave="0" documentId="13_ncr:1_{89605F43-9E90-43D9-8ABF-7D7FAA97C203}" xr6:coauthVersionLast="36" xr6:coauthVersionMax="36" xr10:uidLastSave="{00000000-0000-0000-0000-000000000000}"/>
  <bookViews>
    <workbookView xWindow="0" yWindow="0" windowWidth="20490" windowHeight="7545" xr2:uid="{89A8FA5F-89DD-48B0-B7D6-BCB6CD4D4295}"/>
  </bookViews>
  <sheets>
    <sheet name="Planilha1" sheetId="1" r:id="rId1"/>
    <sheet name="Planilha2" sheetId="2" r:id="rId2"/>
  </sheets>
  <externalReferences>
    <externalReference r:id="rId3"/>
  </externalReferences>
  <definedNames>
    <definedName name="aporte" localSheetId="1">[1]APP!$D$17</definedName>
    <definedName name="aporte">Planilha1!$D$16</definedName>
    <definedName name="patrimonio" localSheetId="1">[1]APP!$D$20</definedName>
    <definedName name="patrimonio">Planilha1!$D$19</definedName>
    <definedName name="qtd_anos" localSheetId="1">[1]APP!$D$18</definedName>
    <definedName name="qtd_anos">Planilha1!$D$17</definedName>
    <definedName name="rendimento_carteira" localSheetId="1">[1]APP!$D$13</definedName>
    <definedName name="rendimento_carteira">Planilha1!$D$12</definedName>
    <definedName name="taxa_mensal" localSheetId="1">[1]APP!$D$19</definedName>
    <definedName name="taxa_mensal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A20" i="2" l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D40" i="1"/>
  <c r="C31" i="1"/>
  <c r="D19" i="1" l="1"/>
  <c r="D20" i="1" s="1"/>
  <c r="C27" i="1"/>
  <c r="D27" i="1" s="1"/>
  <c r="C26" i="1"/>
  <c r="D26" i="1" s="1"/>
  <c r="C25" i="1"/>
  <c r="D25" i="1" s="1"/>
  <c r="C24" i="1"/>
  <c r="D24" i="1" s="1"/>
  <c r="C23" i="1"/>
  <c r="D23" i="1" s="1"/>
  <c r="D13" i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<sst xmlns="http://schemas.openxmlformats.org/spreadsheetml/2006/main" count="69" uniqueCount="33">
  <si>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</si>
  <si>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</si>
  <si>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</si>
  <si>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</si>
  <si>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</si>
  <si>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</si>
  <si>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Quanto em 2 Anos ?</t>
  </si>
  <si>
    <t>Quanto em 5 Anos ?</t>
  </si>
  <si>
    <t>Quanto em 10 Anos ?</t>
  </si>
  <si>
    <t>Quanto em 20 Anos ?</t>
  </si>
  <si>
    <t>Quanto em 30 Anos ?</t>
  </si>
  <si>
    <t>CONFIGURAÇÕES</t>
  </si>
  <si>
    <t>Salário</t>
  </si>
  <si>
    <t>Rendimento Carteira</t>
  </si>
  <si>
    <t>Sugestão de Investimento (30%)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</si>
  <si>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</si>
  <si>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</si>
  <si>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</si>
  <si>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</si>
  <si>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</si>
  <si>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</si>
  <si>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</si>
  <si>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</si>
  <si>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</si>
  <si>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</si>
  <si>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</si>
  <si>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</si>
  <si>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</si>
  <si>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CHAVE</t>
  </si>
  <si>
    <t>%</t>
  </si>
  <si>
    <t>Agressivo</t>
  </si>
  <si>
    <t>DIVIDENDO</t>
  </si>
  <si>
    <t>CENÁRIOS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</si>
</sst>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  <font>
      <b/>
      <sz val="18"/>
      <color theme="0"/>
      <name val="Segoe UI Semibold"/>
      <family val="2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Segoe UI Semibold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7" borderId="0" applyNumberFormat="0" applyBorder="0" applyAlignment="0" applyProtection="0"/>
  </cellStyleXfs>
  <cellXfs count="63">
    <xf numFmtId="0" fontId="0" fillId="0" borderId="0" xfId="0"/>
    <xf numFmtId="164" fontId="5" fillId="0" borderId="6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0" fontId="5" fillId="0" borderId="9" xfId="0" applyNumberFormat="1" applyFont="1" applyBorder="1" applyAlignment="1">
      <alignment horizontal="center"/>
    </xf>
    <xf numFmtId="8" fontId="5" fillId="3" borderId="9" xfId="0" applyNumberFormat="1" applyFont="1" applyFill="1" applyBorder="1" applyAlignment="1">
      <alignment horizontal="center"/>
    </xf>
    <xf numFmtId="8" fontId="5" fillId="3" borderId="12" xfId="0" applyNumberFormat="1" applyFont="1" applyFill="1" applyBorder="1" applyAlignment="1">
      <alignment horizontal="center"/>
    </xf>
    <xf numFmtId="0" fontId="8" fillId="0" borderId="0" xfId="0" applyFont="1"/>
    <xf numFmtId="0" fontId="2" fillId="0" borderId="0" xfId="0" applyFont="1"/>
    <xf numFmtId="164" fontId="7" fillId="0" borderId="6" xfId="1" applyNumberFormat="1" applyFont="1" applyBorder="1" applyAlignment="1">
      <alignment horizontal="center"/>
    </xf>
    <xf numFmtId="10" fontId="7" fillId="0" borderId="9" xfId="0" applyNumberFormat="1" applyFont="1" applyBorder="1" applyAlignment="1">
      <alignment horizontal="center"/>
    </xf>
    <xf numFmtId="164" fontId="7" fillId="2" borderId="12" xfId="0" applyNumberFormat="1" applyFont="1" applyFill="1" applyBorder="1" applyAlignment="1">
      <alignment horizontal="center"/>
    </xf>
    <xf numFmtId="164" fontId="7" fillId="3" borderId="13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left" indent="3"/>
    </xf>
    <xf numFmtId="164" fontId="7" fillId="3" borderId="15" xfId="0" applyNumberFormat="1" applyFont="1" applyFill="1" applyBorder="1" applyAlignment="1">
      <alignment horizontal="center"/>
    </xf>
    <xf numFmtId="0" fontId="4" fillId="3" borderId="16" xfId="0" applyFont="1" applyFill="1" applyBorder="1" applyAlignment="1">
      <alignment horizontal="left" indent="3"/>
    </xf>
    <xf numFmtId="164" fontId="7" fillId="3" borderId="17" xfId="0" applyNumberFormat="1" applyFont="1" applyFill="1" applyBorder="1" applyAlignment="1">
      <alignment horizontal="center"/>
    </xf>
    <xf numFmtId="164" fontId="7" fillId="3" borderId="18" xfId="0" applyNumberFormat="1" applyFont="1" applyFill="1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0" fontId="10" fillId="7" borderId="1" xfId="2" applyBorder="1"/>
    <xf numFmtId="0" fontId="10" fillId="7" borderId="2" xfId="2" applyBorder="1" applyAlignment="1">
      <alignment horizontal="center"/>
    </xf>
    <xf numFmtId="0" fontId="10" fillId="7" borderId="3" xfId="2" applyBorder="1"/>
    <xf numFmtId="0" fontId="11" fillId="2" borderId="19" xfId="0" applyFont="1" applyFill="1" applyBorder="1"/>
    <xf numFmtId="164" fontId="11" fillId="2" borderId="0" xfId="1" applyNumberFormat="1" applyFont="1" applyFill="1" applyBorder="1" applyAlignment="1">
      <alignment horizontal="center"/>
    </xf>
    <xf numFmtId="0" fontId="11" fillId="2" borderId="20" xfId="0" applyFont="1" applyFill="1" applyBorder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11" fillId="8" borderId="19" xfId="0" applyFont="1" applyFill="1" applyBorder="1" applyAlignment="1">
      <alignment horizontal="center"/>
    </xf>
    <xf numFmtId="0" fontId="11" fillId="8" borderId="0" xfId="0" applyFont="1" applyFill="1" applyBorder="1" applyAlignment="1">
      <alignment horizontal="center"/>
    </xf>
    <xf numFmtId="0" fontId="11" fillId="8" borderId="20" xfId="0" applyFont="1" applyFill="1" applyBorder="1" applyAlignment="1">
      <alignment horizontal="center"/>
    </xf>
    <xf numFmtId="0" fontId="11" fillId="8" borderId="21" xfId="0" applyFont="1" applyFill="1" applyBorder="1"/>
    <xf numFmtId="0" fontId="11" fillId="8" borderId="22" xfId="0" applyFont="1" applyFill="1" applyBorder="1"/>
    <xf numFmtId="164" fontId="11" fillId="8" borderId="23" xfId="0" applyNumberFormat="1" applyFont="1" applyFill="1" applyBorder="1" applyAlignment="1">
      <alignment horizontal="center"/>
    </xf>
    <xf numFmtId="0" fontId="2" fillId="9" borderId="0" xfId="0" applyFont="1" applyFill="1"/>
    <xf numFmtId="0" fontId="2" fillId="9" borderId="0" xfId="0" applyFont="1" applyFill="1" applyAlignment="1">
      <alignment horizontal="center"/>
    </xf>
    <xf numFmtId="0" fontId="4" fillId="2" borderId="4" xfId="0" applyFont="1" applyFill="1" applyBorder="1" applyAlignment="1">
      <alignment horizontal="left" indent="3"/>
    </xf>
    <xf numFmtId="0" fontId="4" fillId="2" borderId="5" xfId="0" applyFont="1" applyFill="1" applyBorder="1" applyAlignment="1">
      <alignment horizontal="left" indent="3"/>
    </xf>
    <xf numFmtId="0" fontId="4" fillId="2" borderId="7" xfId="0" applyFont="1" applyFill="1" applyBorder="1" applyAlignment="1">
      <alignment horizontal="left" indent="3"/>
    </xf>
    <xf numFmtId="0" fontId="4" fillId="2" borderId="8" xfId="0" applyFont="1" applyFill="1" applyBorder="1" applyAlignment="1">
      <alignment horizontal="left" indent="3"/>
    </xf>
    <xf numFmtId="0" fontId="4" fillId="2" borderId="10" xfId="0" applyFont="1" applyFill="1" applyBorder="1" applyAlignment="1">
      <alignment horizontal="left" indent="3"/>
    </xf>
    <xf numFmtId="0" fontId="4" fillId="2" borderId="11" xfId="0" applyFont="1" applyFill="1" applyBorder="1" applyAlignment="1">
      <alignment horizontal="left" indent="3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left" indent="3"/>
    </xf>
    <xf numFmtId="0" fontId="6" fillId="3" borderId="8" xfId="0" applyFont="1" applyFill="1" applyBorder="1" applyAlignment="1">
      <alignment horizontal="left" indent="3"/>
    </xf>
    <xf numFmtId="0" fontId="6" fillId="3" borderId="10" xfId="0" applyFont="1" applyFill="1" applyBorder="1" applyAlignment="1">
      <alignment horizontal="left" indent="3"/>
    </xf>
    <xf numFmtId="0" fontId="6" fillId="3" borderId="11" xfId="0" applyFont="1" applyFill="1" applyBorder="1" applyAlignment="1">
      <alignment horizontal="left" indent="3"/>
    </xf>
    <xf numFmtId="0" fontId="0" fillId="0" borderId="13" xfId="0" applyBorder="1"/>
    <xf numFmtId="0" fontId="0" fillId="0" borderId="13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10" borderId="13" xfId="0" applyFill="1" applyBorder="1"/>
    <xf numFmtId="0" fontId="0" fillId="10" borderId="13" xfId="0" applyFill="1" applyBorder="1" applyAlignment="1">
      <alignment horizontal="center"/>
    </xf>
    <xf numFmtId="9" fontId="0" fillId="10" borderId="13" xfId="0" applyNumberFormat="1" applyFill="1" applyBorder="1" applyAlignment="1">
      <alignment horizontal="center"/>
    </xf>
    <xf numFmtId="0" fontId="12" fillId="5" borderId="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9" fontId="0" fillId="0" borderId="0" xfId="0" applyNumberFormat="1"/>
    <xf numFmtId="164" fontId="0" fillId="2" borderId="13" xfId="0" applyNumberFormat="1" applyFill="1" applyBorder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5-4D84-AE11-7B4D72280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1162050</xdr:colOff>
      <xdr:row>0</xdr:row>
      <xdr:rowOff>0</xdr:rowOff>
    </xdr:from>
    <xdr:to>
      <xdr:col>2</xdr:col>
      <xdr:colOff>952500</xdr:colOff>
      <xdr:row>8</xdr:row>
      <xdr:rowOff>157511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0DDB955-3711-4781-ABF1-1EB4DEC211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53" r="19852"/>
        <a:stretch/>
      </xdr:blipFill>
      <xdr:spPr>
        <a:xfrm>
          <a:off x="1771650" y="0"/>
          <a:ext cx="2495550" cy="1681511"/>
        </a:xfrm>
        <a:prstGeom prst="rect">
          <a:avLst/>
        </a:prstGeom>
      </xdr:spPr>
    </xdr:pic>
    <xdr:clientData/>
  </xdr:twoCellAnchor>
  <xdr:twoCellAnchor>
    <xdr:from>
      <xdr:col>1</xdr:col>
      <xdr:colOff>33336</xdr:colOff>
      <xdr:row>41</xdr:row>
      <xdr:rowOff>76199</xdr:rowOff>
    </xdr:from>
    <xdr:to>
      <xdr:col>4</xdr:col>
      <xdr:colOff>9524</xdr:colOff>
      <xdr:row>55</xdr:row>
      <xdr:rowOff>109536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4ABD15-0FCE-42C9-91B3-2A3235B4D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04b81b1-8e35-4e72-aeb9-98aed8ed4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"/>
      <sheetName val="Planilha2"/>
    </sheetNames>
    <sheetDataSet>
      <sheetData sheetId="0">
        <row r="13">
          <cell r="D13">
            <v>6.0000000000000001E-3</v>
          </cell>
        </row>
        <row r="17">
          <cell r="D17">
            <v>200</v>
          </cell>
        </row>
        <row r="18">
          <cell r="D18">
            <v>5</v>
          </cell>
        </row>
        <row r="19">
          <cell r="D19">
            <v>1.0789999999999999E-2</v>
          </cell>
        </row>
        <row r="20">
          <cell r="D20">
            <v>16755.382799697527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C4A5-A1C2-4E74-AF61-815723352035}">
  <dimension ref="A9:K41"/>
  <sheetViews>
    <sheetView showGridLines="0" tabSelected="1" topLeftCell="A28" workbookViewId="0">
      <selection activeCell="C30" sqref="C30"/>
    </sheetView>
  </sheetViews>
  <sheetFormatPr defaultColWidth="0" defaultRowHeight="15" x14ac:dyDescent="0.25"/>
  <cols>
    <col min="1" max="1" width="9.140625" customWidth="1"/>
    <col min="2" max="2" width="40.5703125" bestFit="1" customWidth="1"/>
    <col min="3" max="3" width="19.140625" bestFit="1" customWidth="1"/>
    <col min="4" max="4" width="16.42578125" bestFit="1" customWidth="1"/>
    <col min="5" max="6" width="9.140625" customWidth="1"/>
    <col min="7" max="7" width="29.7109375" bestFit="1" customWidth="1"/>
    <col min="8" max="8" width="9.140625" customWidth="1"/>
    <col min="9" max="9" width="11.7109375" bestFit="1" customWidth="1"/>
    <col min="10" max="11" width="9.140625" customWidth="1"/>
    <col min="12" max="16384" width="9.140625" hidden="1"/>
  </cols>
  <sheetData>
    <row r="9" spans="2:4" ht="15.75" thickBot="1" x14ac:dyDescent="0.3"/>
    <row r="10" spans="2:4" ht="26.25" x14ac:dyDescent="0.25">
      <c r="B10" s="42" t="s">
        <v>11</v>
      </c>
      <c r="C10" s="43"/>
      <c r="D10" s="44"/>
    </row>
    <row r="11" spans="2:4" ht="17.25" x14ac:dyDescent="0.3">
      <c r="B11" s="36" t="s">
        <v>12</v>
      </c>
      <c r="C11" s="37"/>
      <c r="D11" s="8">
        <v>4000</v>
      </c>
    </row>
    <row r="12" spans="2:4" ht="17.25" x14ac:dyDescent="0.3">
      <c r="B12" s="38" t="s">
        <v>13</v>
      </c>
      <c r="C12" s="39"/>
      <c r="D12" s="9">
        <v>0.01</v>
      </c>
    </row>
    <row r="13" spans="2:4" ht="18" thickBot="1" x14ac:dyDescent="0.35">
      <c r="B13" s="40" t="s">
        <v>14</v>
      </c>
      <c r="C13" s="41"/>
      <c r="D13" s="10">
        <f>D11*30%</f>
        <v>1200</v>
      </c>
    </row>
    <row r="14" spans="2:4" ht="15.75" thickBot="1" x14ac:dyDescent="0.3"/>
    <row r="15" spans="2:4" ht="30.75" x14ac:dyDescent="0.25">
      <c r="B15" s="45" t="s">
        <v>0</v>
      </c>
      <c r="C15" s="46"/>
      <c r="D15" s="47"/>
    </row>
    <row r="16" spans="2:4" ht="17.25" x14ac:dyDescent="0.3">
      <c r="B16" s="36" t="s">
        <v>1</v>
      </c>
      <c r="C16" s="37"/>
      <c r="D16" s="1">
        <v>500</v>
      </c>
    </row>
    <row r="17" spans="1:7" ht="17.25" x14ac:dyDescent="0.3">
      <c r="B17" s="38" t="s">
        <v>2</v>
      </c>
      <c r="C17" s="39"/>
      <c r="D17" s="2">
        <v>5</v>
      </c>
    </row>
    <row r="18" spans="1:7" ht="17.25" x14ac:dyDescent="0.3">
      <c r="B18" s="38" t="s">
        <v>3</v>
      </c>
      <c r="C18" s="39"/>
      <c r="D18" s="3">
        <v>1.0789999999999999E-2</v>
      </c>
    </row>
    <row r="19" spans="1:7" ht="17.25" x14ac:dyDescent="0.3">
      <c r="B19" s="48" t="s">
        <v>4</v>
      </c>
      <c r="C19" s="49"/>
      <c r="D19" s="4">
        <f>FV(taxa_mensal,qtd_anos*12,aporte*-1)</f>
        <v>41888.456999243819</v>
      </c>
    </row>
    <row r="20" spans="1:7" ht="18" thickBot="1" x14ac:dyDescent="0.35">
      <c r="B20" s="50" t="s">
        <v>5</v>
      </c>
      <c r="C20" s="51"/>
      <c r="D20" s="5">
        <f>patrimonio*rendimento_carteira</f>
        <v>418.88456999243817</v>
      </c>
    </row>
    <row r="21" spans="1:7" ht="15.75" thickBot="1" x14ac:dyDescent="0.3"/>
    <row r="22" spans="1:7" ht="20.25" x14ac:dyDescent="0.25">
      <c r="B22" s="59" t="s">
        <v>32</v>
      </c>
      <c r="C22" s="60"/>
      <c r="D22" s="58" t="s">
        <v>31</v>
      </c>
      <c r="F22" s="6"/>
      <c r="G22" s="17"/>
    </row>
    <row r="23" spans="1:7" ht="17.25" x14ac:dyDescent="0.3">
      <c r="A23" s="7">
        <v>2</v>
      </c>
      <c r="B23" s="12" t="s">
        <v>6</v>
      </c>
      <c r="C23" s="11">
        <f>FV($D$18,$A23*12,aporte*-1)</f>
        <v>13613.813648822608</v>
      </c>
      <c r="D23" s="13">
        <f>C23*rendimento_carteira</f>
        <v>136.13813648822608</v>
      </c>
      <c r="F23" s="6"/>
      <c r="G23" s="6"/>
    </row>
    <row r="24" spans="1:7" ht="17.25" x14ac:dyDescent="0.3">
      <c r="A24" s="7">
        <v>5</v>
      </c>
      <c r="B24" s="12" t="s">
        <v>7</v>
      </c>
      <c r="C24" s="11">
        <f>FV($D$18,$A24*12,aporte*-1)</f>
        <v>41888.456999243819</v>
      </c>
      <c r="D24" s="13">
        <f>C24*rendimento_carteira</f>
        <v>418.88456999243817</v>
      </c>
    </row>
    <row r="25" spans="1:7" ht="17.25" x14ac:dyDescent="0.3">
      <c r="A25" s="7">
        <v>10</v>
      </c>
      <c r="B25" s="12" t="s">
        <v>8</v>
      </c>
      <c r="C25" s="11">
        <f>FV($D$18,$A25*12,aporte*-1)</f>
        <v>121642.1062650861</v>
      </c>
      <c r="D25" s="13">
        <f>C25*rendimento_carteira</f>
        <v>1216.4210626508609</v>
      </c>
      <c r="G25" s="6"/>
    </row>
    <row r="26" spans="1:7" ht="17.25" x14ac:dyDescent="0.3">
      <c r="A26" s="7">
        <v>20</v>
      </c>
      <c r="B26" s="12" t="s">
        <v>9</v>
      </c>
      <c r="C26" s="11">
        <f>FV($D$18,$A26*12,aporte*-1)</f>
        <v>562599.20004854025</v>
      </c>
      <c r="D26" s="13">
        <f>C26*rendimento_carteira</f>
        <v>5625.992000485403</v>
      </c>
      <c r="F26" s="6"/>
    </row>
    <row r="27" spans="1:7" ht="18" thickBot="1" x14ac:dyDescent="0.35">
      <c r="A27" s="7">
        <v>30</v>
      </c>
      <c r="B27" s="14" t="s">
        <v>10</v>
      </c>
      <c r="C27" s="15">
        <f>FV($D$18,$A27*12,aporte*-1)</f>
        <v>2161084.8275023573</v>
      </c>
      <c r="D27" s="16">
        <f>C27*rendimento_carteira</f>
        <v>21610.848275023574</v>
      </c>
    </row>
    <row r="29" spans="1:7" ht="15.75" thickBot="1" x14ac:dyDescent="0.3">
      <c r="F29" s="6"/>
      <c r="G29" s="6"/>
    </row>
    <row r="30" spans="1:7" x14ac:dyDescent="0.25">
      <c r="B30" s="19" t="s">
        <v>15</v>
      </c>
      <c r="C30" s="20" t="s">
        <v>16</v>
      </c>
      <c r="D30" s="21"/>
      <c r="G30" s="6"/>
    </row>
    <row r="31" spans="1:7" x14ac:dyDescent="0.25">
      <c r="B31" s="22" t="s">
        <v>17</v>
      </c>
      <c r="C31" s="23">
        <f>aporte</f>
        <v>500</v>
      </c>
      <c r="D31" s="24"/>
    </row>
    <row r="32" spans="1:7" x14ac:dyDescent="0.25">
      <c r="B32" s="25"/>
      <c r="C32" s="26"/>
      <c r="D32" s="27"/>
    </row>
    <row r="33" spans="2:4" x14ac:dyDescent="0.25">
      <c r="B33" s="28" t="s">
        <v>18</v>
      </c>
      <c r="C33" s="29" t="s">
        <v>19</v>
      </c>
      <c r="D33" s="30" t="s">
        <v>20</v>
      </c>
    </row>
    <row r="34" spans="2:4" x14ac:dyDescent="0.25">
      <c r="B34" s="53" t="s">
        <v>21</v>
      </c>
      <c r="C34" s="54">
        <f>VLOOKUP($C$30&amp;"-"&amp;B34,Planilha2!$A:$D,4,FALSE)</f>
        <v>0.32</v>
      </c>
      <c r="D34" s="62">
        <f>C34*$C$31</f>
        <v>160</v>
      </c>
    </row>
    <row r="35" spans="2:4" x14ac:dyDescent="0.25">
      <c r="B35" s="53" t="s">
        <v>22</v>
      </c>
      <c r="C35" s="54">
        <f>VLOOKUP($C$30&amp;"-"&amp;B35,Planilha2!$A:$D,4,FALSE)</f>
        <v>0.35</v>
      </c>
      <c r="D35" s="62">
        <f t="shared" ref="D35:D39" si="0">C35*$C$31</f>
        <v>175</v>
      </c>
    </row>
    <row r="36" spans="2:4" x14ac:dyDescent="0.25">
      <c r="B36" s="53" t="s">
        <v>23</v>
      </c>
      <c r="C36" s="54">
        <f>VLOOKUP($C$30&amp;"-"&amp;B36,Planilha2!$A:$D,4,FALSE)</f>
        <v>0.08</v>
      </c>
      <c r="D36" s="62">
        <f t="shared" si="0"/>
        <v>40</v>
      </c>
    </row>
    <row r="37" spans="2:4" x14ac:dyDescent="0.25">
      <c r="B37" s="53" t="s">
        <v>24</v>
      </c>
      <c r="C37" s="54">
        <f>VLOOKUP($C$30&amp;"-"&amp;B37,Planilha2!$A:$D,4,FALSE)</f>
        <v>0.05</v>
      </c>
      <c r="D37" s="62">
        <f t="shared" si="0"/>
        <v>25</v>
      </c>
    </row>
    <row r="38" spans="2:4" x14ac:dyDescent="0.25">
      <c r="B38" s="53" t="s">
        <v>25</v>
      </c>
      <c r="C38" s="54">
        <f>VLOOKUP($C$30&amp;"-"&amp;B38,Planilha2!$A:$D,4,FALSE)</f>
        <v>0.1</v>
      </c>
      <c r="D38" s="62">
        <f t="shared" si="0"/>
        <v>50</v>
      </c>
    </row>
    <row r="39" spans="2:4" x14ac:dyDescent="0.25">
      <c r="B39" s="53" t="s">
        <v>26</v>
      </c>
      <c r="C39" s="54">
        <f>VLOOKUP($C$30&amp;"-"&amp;B39,Planilha2!$A:$D,4,FALSE)</f>
        <v>0.1</v>
      </c>
      <c r="D39" s="62">
        <f t="shared" si="0"/>
        <v>50</v>
      </c>
    </row>
    <row r="40" spans="2:4" ht="15.75" thickBot="1" x14ac:dyDescent="0.3">
      <c r="B40" s="31"/>
      <c r="C40" s="32"/>
      <c r="D40" s="33">
        <f>SUM(D34:D39)</f>
        <v>500</v>
      </c>
    </row>
    <row r="41" spans="2:4" x14ac:dyDescent="0.25">
      <c r="C41" s="61"/>
    </row>
  </sheetData>
  <mergeCells count="11">
    <mergeCell ref="B22:C22"/>
    <mergeCell ref="B11:C11"/>
    <mergeCell ref="B12:C12"/>
    <mergeCell ref="B13:C13"/>
    <mergeCell ref="B10:D10"/>
    <mergeCell ref="B15:D15"/>
    <mergeCell ref="B16:C16"/>
    <mergeCell ref="B17:C17"/>
    <mergeCell ref="B18:C18"/>
    <mergeCell ref="B19:C19"/>
    <mergeCell ref="B20:C20"/>
  </mergeCells>
  <dataValidations count="1">
    <dataValidation type="list" allowBlank="1" showInputMessage="1" showErrorMessage="1" sqref="C30" xr:uid="{F38F86A5-704C-470A-8FE3-41ECE14094DE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709E-2F2A-4DBC-9594-5FAB47192B8F}">
  <dimension ref="A2:D21"/>
  <sheetViews>
    <sheetView showGridLines="0" zoomScale="115" zoomScaleNormal="115" workbookViewId="0">
      <selection activeCell="F5" sqref="F5"/>
    </sheetView>
  </sheetViews>
  <sheetFormatPr defaultRowHeight="15" x14ac:dyDescent="0.25"/>
  <cols>
    <col min="1" max="1" width="33.28515625" bestFit="1" customWidth="1"/>
    <col min="2" max="2" width="13.140625" bestFit="1" customWidth="1"/>
    <col min="3" max="3" width="20.28515625" bestFit="1" customWidth="1"/>
    <col min="7" max="7" width="17.5703125" bestFit="1" customWidth="1"/>
  </cols>
  <sheetData>
    <row r="2" spans="1:4" x14ac:dyDescent="0.25">
      <c r="A2" s="34" t="s">
        <v>28</v>
      </c>
      <c r="B2" s="34" t="s">
        <v>15</v>
      </c>
      <c r="C2" s="35" t="s">
        <v>18</v>
      </c>
      <c r="D2" s="35" t="s">
        <v>29</v>
      </c>
    </row>
    <row r="3" spans="1:4" x14ac:dyDescent="0.25">
      <c r="A3" s="52" t="str">
        <f>B3&amp;"-"&amp;C3</f>
        <v>Conservador-PAPEL</v>
      </c>
      <c r="B3" s="52" t="s">
        <v>27</v>
      </c>
      <c r="C3" s="53" t="s">
        <v>21</v>
      </c>
      <c r="D3" s="54">
        <v>0.3</v>
      </c>
    </row>
    <row r="4" spans="1:4" x14ac:dyDescent="0.25">
      <c r="A4" s="52" t="str">
        <f t="shared" ref="A4:A20" si="0">B4&amp;"-"&amp;C4</f>
        <v>Conservador-TIJOLO</v>
      </c>
      <c r="B4" s="52" t="s">
        <v>27</v>
      </c>
      <c r="C4" s="53" t="s">
        <v>22</v>
      </c>
      <c r="D4" s="54">
        <v>0.5</v>
      </c>
    </row>
    <row r="5" spans="1:4" x14ac:dyDescent="0.25">
      <c r="A5" s="52" t="str">
        <f t="shared" si="0"/>
        <v>Conservador-HÍBRIDOS</v>
      </c>
      <c r="B5" s="52" t="s">
        <v>27</v>
      </c>
      <c r="C5" s="53" t="s">
        <v>23</v>
      </c>
      <c r="D5" s="54">
        <v>0.1</v>
      </c>
    </row>
    <row r="6" spans="1:4" x14ac:dyDescent="0.25">
      <c r="A6" s="52" t="str">
        <f t="shared" si="0"/>
        <v>Conservador-FOFs</v>
      </c>
      <c r="B6" s="52" t="s">
        <v>27</v>
      </c>
      <c r="C6" s="53" t="s">
        <v>24</v>
      </c>
      <c r="D6" s="54">
        <v>0.1</v>
      </c>
    </row>
    <row r="7" spans="1:4" x14ac:dyDescent="0.25">
      <c r="A7" s="52" t="str">
        <f t="shared" si="0"/>
        <v>Conservador-DESENVOLVIMENTO</v>
      </c>
      <c r="B7" s="52" t="s">
        <v>27</v>
      </c>
      <c r="C7" s="53" t="s">
        <v>25</v>
      </c>
      <c r="D7" s="54">
        <v>0</v>
      </c>
    </row>
    <row r="8" spans="1:4" x14ac:dyDescent="0.25">
      <c r="A8" s="52" t="str">
        <f t="shared" si="0"/>
        <v>Conservador-HOTELARIAS</v>
      </c>
      <c r="B8" s="52" t="s">
        <v>27</v>
      </c>
      <c r="C8" s="53" t="s">
        <v>26</v>
      </c>
      <c r="D8" s="54">
        <v>0</v>
      </c>
    </row>
    <row r="9" spans="1:4" x14ac:dyDescent="0.25">
      <c r="A9" s="52" t="str">
        <f t="shared" si="0"/>
        <v>Moderado-PAPEL</v>
      </c>
      <c r="B9" s="52" t="s">
        <v>16</v>
      </c>
      <c r="C9" s="53" t="s">
        <v>21</v>
      </c>
      <c r="D9" s="54">
        <v>0.32</v>
      </c>
    </row>
    <row r="10" spans="1:4" x14ac:dyDescent="0.25">
      <c r="A10" s="55" t="str">
        <f t="shared" si="0"/>
        <v>Moderado-TIJOLO</v>
      </c>
      <c r="B10" s="55" t="s">
        <v>16</v>
      </c>
      <c r="C10" s="56" t="s">
        <v>22</v>
      </c>
      <c r="D10" s="57">
        <v>0.35</v>
      </c>
    </row>
    <row r="11" spans="1:4" x14ac:dyDescent="0.25">
      <c r="A11" s="52" t="str">
        <f t="shared" si="0"/>
        <v>Moderado-HÍBRIDOS</v>
      </c>
      <c r="B11" s="52" t="s">
        <v>16</v>
      </c>
      <c r="C11" s="53" t="s">
        <v>23</v>
      </c>
      <c r="D11" s="54">
        <v>0.08</v>
      </c>
    </row>
    <row r="12" spans="1:4" x14ac:dyDescent="0.25">
      <c r="A12" s="52" t="str">
        <f t="shared" si="0"/>
        <v>Moderado-FOFs</v>
      </c>
      <c r="B12" s="52" t="s">
        <v>16</v>
      </c>
      <c r="C12" s="53" t="s">
        <v>24</v>
      </c>
      <c r="D12" s="54">
        <v>0.05</v>
      </c>
    </row>
    <row r="13" spans="1:4" x14ac:dyDescent="0.25">
      <c r="A13" s="52" t="str">
        <f t="shared" si="0"/>
        <v>Moderado-DESENVOLVIMENTO</v>
      </c>
      <c r="B13" s="52" t="s">
        <v>16</v>
      </c>
      <c r="C13" s="53" t="s">
        <v>25</v>
      </c>
      <c r="D13" s="54">
        <v>0.1</v>
      </c>
    </row>
    <row r="14" spans="1:4" x14ac:dyDescent="0.25">
      <c r="A14" s="52" t="str">
        <f t="shared" si="0"/>
        <v>Moderado-HOTELARIAS</v>
      </c>
      <c r="B14" s="52" t="s">
        <v>16</v>
      </c>
      <c r="C14" s="53" t="s">
        <v>26</v>
      </c>
      <c r="D14" s="54">
        <v>0.1</v>
      </c>
    </row>
    <row r="15" spans="1:4" x14ac:dyDescent="0.25">
      <c r="A15" s="52" t="str">
        <f t="shared" si="0"/>
        <v>Agressivo-PAPEL</v>
      </c>
      <c r="B15" s="52" t="s">
        <v>30</v>
      </c>
      <c r="C15" s="53" t="s">
        <v>21</v>
      </c>
      <c r="D15" s="54">
        <v>0.5</v>
      </c>
    </row>
    <row r="16" spans="1:4" x14ac:dyDescent="0.25">
      <c r="A16" s="52" t="str">
        <f t="shared" si="0"/>
        <v>Agressivo-TIJOLO</v>
      </c>
      <c r="B16" s="52" t="s">
        <v>30</v>
      </c>
      <c r="C16" s="53" t="s">
        <v>22</v>
      </c>
      <c r="D16" s="54">
        <v>0.1</v>
      </c>
    </row>
    <row r="17" spans="1:4" x14ac:dyDescent="0.25">
      <c r="A17" s="52" t="str">
        <f t="shared" si="0"/>
        <v>Agressivo-HÍBRIDOS</v>
      </c>
      <c r="B17" s="52" t="s">
        <v>30</v>
      </c>
      <c r="C17" s="53" t="s">
        <v>23</v>
      </c>
      <c r="D17" s="54">
        <v>0.05</v>
      </c>
    </row>
    <row r="18" spans="1:4" x14ac:dyDescent="0.25">
      <c r="A18" s="52" t="str">
        <f t="shared" si="0"/>
        <v>Agressivo-FOFs</v>
      </c>
      <c r="B18" s="52" t="s">
        <v>30</v>
      </c>
      <c r="C18" s="53" t="s">
        <v>24</v>
      </c>
      <c r="D18" s="54">
        <v>0.05</v>
      </c>
    </row>
    <row r="19" spans="1:4" x14ac:dyDescent="0.25">
      <c r="A19" s="52" t="str">
        <f t="shared" si="0"/>
        <v>Agressivo-DESENVOLVIMENTO</v>
      </c>
      <c r="B19" s="52" t="s">
        <v>30</v>
      </c>
      <c r="C19" s="53" t="s">
        <v>25</v>
      </c>
      <c r="D19" s="54">
        <v>0.2</v>
      </c>
    </row>
    <row r="20" spans="1:4" x14ac:dyDescent="0.25">
      <c r="A20" s="52" t="str">
        <f t="shared" si="0"/>
        <v>Agressivo-HOTELARIAS</v>
      </c>
      <c r="B20" s="52" t="s">
        <v>30</v>
      </c>
      <c r="C20" s="53" t="s">
        <v>26</v>
      </c>
      <c r="D20" s="54">
        <v>0.1</v>
      </c>
    </row>
    <row r="21" spans="1:4" x14ac:dyDescent="0.25">
      <c r="D21" s="1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JD-VAIO</dc:creator>
  <cp:lastModifiedBy>JD-VAIO</cp:lastModifiedBy>
  <dcterms:created xsi:type="dcterms:W3CDTF">2026-10-15T16:47:14Z</dcterms:created>
  <dcterms:modified xsi:type="dcterms:W3CDTF">2026-10-19T16:34:56Z</dcterms:modified>
</cp:coreProperties>
</file>